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ine Items" sheetId="2" state="visible" r:id="rId4"/>
    <sheet name="Questionnaire" sheetId="3" state="visible" r:id="rId5"/>
    <sheet name="Commercial Ter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<sst xmlns="http://schemas.openxmlformats.org/spreadsheetml/2006/main" count="167" uniqueCount="109">
  <si>
    <t xml:space="preserve">Quotation - FY27 Workplace Hardware Refresh (RFx Ref: PRC-ITHW-FY27-0142)</t>
  </si>
  <si>
    <t xml:space="preserve">Vendor: Apex Business Systems Pvt. Ltd.</t>
  </si>
  <si>
    <t xml:space="preserve">Contact: Rakesh Menon, Key Accounts Manager, rakesh.menon@apexbusiness.in, +91 98450 11223</t>
  </si>
  <si>
    <t xml:space="preserve">Line No.</t>
  </si>
  <si>
    <t xml:space="preserve">Item</t>
  </si>
  <si>
    <t xml:space="preserve">Specification</t>
  </si>
  <si>
    <t xml:space="preserve">UoM</t>
  </si>
  <si>
    <t xml:space="preserve">Qty Required</t>
  </si>
  <si>
    <t xml:space="preserve">Unit Price</t>
  </si>
  <si>
    <t xml:space="preserve">Currency</t>
  </si>
  <si>
    <t xml:space="preserve">Line Total</t>
  </si>
  <si>
    <t xml:space="preserve">Remarks</t>
  </si>
  <si>
    <t xml:space="preserve">Business Laptop - Entry</t>
  </si>
  <si>
    <t xml:space="preserve">i5, 8GB RAM, 256GB SSD</t>
  </si>
  <si>
    <t xml:space="preserve">per unit</t>
  </si>
  <si>
    <t xml:space="preserve">INR</t>
  </si>
  <si>
    <t xml:space="preserve">Business Laptop - Standard</t>
  </si>
  <si>
    <t xml:space="preserve">i5, 16GB RAM, 512GB SSD</t>
  </si>
  <si>
    <t xml:space="preserve">Business Laptop - Premium</t>
  </si>
  <si>
    <t xml:space="preserve">i7, 16GB RAM, 512GB SSD</t>
  </si>
  <si>
    <t xml:space="preserve">Executive Ultrabook</t>
  </si>
  <si>
    <t xml:space="preserve">i7, 32GB RAM, 1TB SSD</t>
  </si>
  <si>
    <t xml:space="preserve">Monitor 24-inch FHD</t>
  </si>
  <si>
    <t xml:space="preserve">1920x1080, IPS</t>
  </si>
  <si>
    <t xml:space="preserve">Monitor 27-inch QHD</t>
  </si>
  <si>
    <t xml:space="preserve">2560x1440, IPS</t>
  </si>
  <si>
    <t xml:space="preserve">Dual Monitor Arm/Stand</t>
  </si>
  <si>
    <t xml:space="preserve">Desk-clamp, gas spring</t>
  </si>
  <si>
    <t xml:space="preserve">USB-C Docking Station</t>
  </si>
  <si>
    <t xml:space="preserve">Universal, dual 4K out</t>
  </si>
  <si>
    <t xml:space="preserve">Wireless Keyboard+Mouse Combo</t>
  </si>
  <si>
    <t xml:space="preserve">2.4GHz + BT</t>
  </si>
  <si>
    <t xml:space="preserve">Wired Keyboard</t>
  </si>
  <si>
    <t xml:space="preserve">USB, full-size</t>
  </si>
  <si>
    <t xml:space="preserve">Wired Optical Mouse</t>
  </si>
  <si>
    <t xml:space="preserve">USB</t>
  </si>
  <si>
    <t xml:space="preserve">USB Webcam 1080p</t>
  </si>
  <si>
    <t xml:space="preserve">1080p30, auto-focus</t>
  </si>
  <si>
    <t xml:space="preserve">USB Webcam 4K</t>
  </si>
  <si>
    <t xml:space="preserve">4K30, auto-focus</t>
  </si>
  <si>
    <t xml:space="preserve">Wired Noise-Cancelling Headset</t>
  </si>
  <si>
    <t xml:space="preserve">USB, mic ANC</t>
  </si>
  <si>
    <t xml:space="preserve">Bluetooth Headset</t>
  </si>
  <si>
    <t xml:space="preserve">BT 5.0, mic</t>
  </si>
  <si>
    <t xml:space="preserve">Conference Speakerphone</t>
  </si>
  <si>
    <t xml:space="preserve">360-degree mic, USB/BT</t>
  </si>
  <si>
    <t xml:space="preserve">Conference PTZ Camera</t>
  </si>
  <si>
    <t xml:space="preserve">1080p, 10x zoom</t>
  </si>
  <si>
    <t xml:space="preserve">65-inch Interactive Display Panel</t>
  </si>
  <si>
    <t xml:space="preserve">4K touch, Android OS</t>
  </si>
  <si>
    <t xml:space="preserve">Laptop Sleeve 15.6-inch</t>
  </si>
  <si>
    <t xml:space="preserve">Neoprene</t>
  </si>
  <si>
    <t xml:space="preserve">Spare 65W USB-C Charger</t>
  </si>
  <si>
    <t xml:space="preserve">GaN, universal</t>
  </si>
  <si>
    <t xml:space="preserve">Portable SSD 1TB</t>
  </si>
  <si>
    <t xml:space="preserve">USB 3.2, external</t>
  </si>
  <si>
    <t xml:space="preserve">USB-C to HDMI Adapter</t>
  </si>
  <si>
    <t xml:space="preserve">4K30 support</t>
  </si>
  <si>
    <t xml:space="preserve">USB Hub 7-port</t>
  </si>
  <si>
    <t xml:space="preserve">USB 3.0, powered</t>
  </si>
  <si>
    <t xml:space="preserve">Laptop Cable Lock</t>
  </si>
  <si>
    <t xml:space="preserve">Keyed, Kensington slot</t>
  </si>
  <si>
    <t xml:space="preserve">External Blu-ray/DVD Drive</t>
  </si>
  <si>
    <t xml:space="preserve">USB, slim</t>
  </si>
  <si>
    <t xml:space="preserve">Handheld Barcode Scanner (USB)</t>
  </si>
  <si>
    <t xml:space="preserve">1D/2D, wired</t>
  </si>
  <si>
    <t xml:space="preserve">Desktop Label Printer</t>
  </si>
  <si>
    <t xml:space="preserve">Thermal, USB</t>
  </si>
  <si>
    <t xml:space="preserve">Network Switch, 24-port unmanaged</t>
  </si>
  <si>
    <t xml:space="preserve">Gigabit</t>
  </si>
  <si>
    <t xml:space="preserve">Desktop UPS 650VA</t>
  </si>
  <si>
    <t xml:space="preserve">Line-interactive</t>
  </si>
  <si>
    <t xml:space="preserve">3-Year Onsite Warranty Extension</t>
  </si>
  <si>
    <t xml:space="preserve">Per-device bundle, all laptops</t>
  </si>
  <si>
    <t xml:space="preserve">lot</t>
  </si>
  <si>
    <t xml:space="preserve">Applies to all 320 laptop/ultrabook units (lines 1-4)</t>
  </si>
  <si>
    <t xml:space="preserve">Grand Total:</t>
  </si>
  <si>
    <t xml:space="preserve">#</t>
  </si>
  <si>
    <t xml:space="preserve">Question</t>
  </si>
  <si>
    <t xml:space="preserve">Vendor Response</t>
  </si>
  <si>
    <t xml:space="preserve">Authorized OEM reseller? (name brands + attach proof)</t>
  </si>
  <si>
    <t xml:space="preserve">Yes - Authorized Premier Partner for Dell, HP and Lenovo. Partner certificates attached as Annexure A.</t>
  </si>
  <si>
    <t xml:space="preserve">ISO 9001 certified? (certificate number)</t>
  </si>
  <si>
    <t xml:space="preserve">Yes - ISO 9001:2015 certified. Certificate No. IN-QMS-4471, valid till Mar 2027.</t>
  </si>
  <si>
    <t xml:space="preserve">RoHS / Energy Star compliance on hardware supplied?</t>
  </si>
  <si>
    <t xml:space="preserve">Yes - all supplied hardware is RoHS compliant and Energy Star rated where applicable to the category.</t>
  </si>
  <si>
    <t xml:space="preserve">Local service center cities and average onsite response SLA</t>
  </si>
  <si>
    <t xml:space="preserve">12 service center cities (Delhi NCR, Mumbai, Bengaluru, Chennai, Hyderabad, Pune, Kolkata, Ahmedabad, Jaipur, Chandigarh, Kochi, Indore). SLA: 4 business hours onsite response in metros, 8 hours in Tier-2 cities.</t>
  </si>
  <si>
    <t xml:space="preserve">Standard warranty terms per product category</t>
  </si>
  <si>
    <t xml:space="preserve">Laptops/Ultrabooks: 3-year onsite (OEM). Monitors: 3-year onsite. Peripherals: 1-year replacement. UPS: 2-year onsite.</t>
  </si>
  <si>
    <t xml:space="preserve">Asset disposal / data-wipe policy for buyback of old devices</t>
  </si>
  <si>
    <t xml:space="preserve">NIST 800-88 compliant data sanitization; certificate of data destruction issued per device. Buyback credit note issued within 15 days.</t>
  </si>
  <si>
    <t xml:space="preserve">Similar-scale deployment references (2+, with contact)</t>
  </si>
  <si>
    <t xml:space="preserve">1) Meridian Financial Services - 450-seat refresh, Mar 2025, contact: it.procurement@meridianfs.in. 2) Coastal Logistics Group - 280-seat refresh, Aug 2024, contact: nikhil.rao@coastallogistics.in.</t>
  </si>
  <si>
    <t xml:space="preserve">Average lead time from PO to delivery</t>
  </si>
  <si>
    <t xml:space="preserve">10 business days ex-stock for standard SKUs; 3-4 weeks for the 65-inch display panel (built to order).</t>
  </si>
  <si>
    <t xml:space="preserve">Field</t>
  </si>
  <si>
    <t xml:space="preserve">Payment Terms</t>
  </si>
  <si>
    <t xml:space="preserve">50% advance, 50% on delivery</t>
  </si>
  <si>
    <t xml:space="preserve">Quote Validity</t>
  </si>
  <si>
    <t xml:space="preserve">30 days from quote date</t>
  </si>
  <si>
    <t xml:space="preserve">Freight Terms</t>
  </si>
  <si>
    <t xml:space="preserve">Delivered at Buyer's site (DAP), freight included</t>
  </si>
  <si>
    <t xml:space="preserve">GST / Tax Treatment</t>
  </si>
  <si>
    <t xml:space="preserve">18% GST extra, as applicable</t>
  </si>
  <si>
    <t xml:space="preserve">Vendor Name</t>
  </si>
  <si>
    <t xml:space="preserve">Apex Business Systems Pvt. Ltd.</t>
  </si>
  <si>
    <t xml:space="preserve">Contact Person &amp; Email/Phone</t>
  </si>
  <si>
    <t xml:space="preserve">Rakesh Menon, Key Accounts Manager, rakesh.menon@apexbusiness.in, +91 98450 11223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</si>
</sst>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</row>
    <row r="2" customFormat="false" ht="15" hidden="false" customHeight="false" outlineLevel="0" collapsed="false">
      <c r="A2" s="4" t="n">
        <v>1</v>
      </c>
      <c r="B2" s="4" t="s">
        <v>12</v>
      </c>
      <c r="C2" s="4" t="s">
        <v>13</v>
      </c>
      <c r="D2" s="4" t="s">
        <v>14</v>
      </c>
      <c r="E2" s="4" t="n">
        <v>100</v>
      </c>
      <c r="F2" s="4" t="n">
        <v>42000</v>
      </c>
      <c r="G2" s="4" t="s">
        <v>15</v>
      </c>
      <c r="H2" s="4" t="n">
        <f aca="false">F2*100</f>
        <v>4200000</v>
      </c>
      <c r="I2" s="4"/>
    </row>
    <row r="3" customFormat="false" ht="15" hidden="false" customHeight="false" outlineLevel="0" collapsed="false">
      <c r="A3" s="4" t="n">
        <v>2</v>
      </c>
      <c r="B3" s="4" t="s">
        <v>16</v>
      </c>
      <c r="C3" s="4" t="s">
        <v>17</v>
      </c>
      <c r="D3" s="4" t="s">
        <v>14</v>
      </c>
      <c r="E3" s="4" t="n">
        <v>150</v>
      </c>
      <c r="F3" s="4" t="n">
        <v>58000</v>
      </c>
      <c r="G3" s="4" t="s">
        <v>15</v>
      </c>
      <c r="H3" s="4" t="n">
        <f aca="false">F3*150</f>
        <v>8700000</v>
      </c>
      <c r="I3" s="4"/>
    </row>
    <row r="4" customFormat="false" ht="15" hidden="false" customHeight="false" outlineLevel="0" collapsed="false">
      <c r="A4" s="4" t="n">
        <v>3</v>
      </c>
      <c r="B4" s="4" t="s">
        <v>18</v>
      </c>
      <c r="C4" s="4" t="s">
        <v>19</v>
      </c>
      <c r="D4" s="4" t="s">
        <v>14</v>
      </c>
      <c r="E4" s="4" t="n">
        <v>50</v>
      </c>
      <c r="F4" s="4" t="n">
        <v>74000</v>
      </c>
      <c r="G4" s="4" t="s">
        <v>15</v>
      </c>
      <c r="H4" s="4" t="n">
        <f aca="false">F4*50</f>
        <v>3700000</v>
      </c>
      <c r="I4" s="4"/>
    </row>
    <row r="5" customFormat="false" ht="15" hidden="false" customHeight="false" outlineLevel="0" collapsed="false">
      <c r="A5" s="4" t="n">
        <v>4</v>
      </c>
      <c r="B5" s="4" t="s">
        <v>20</v>
      </c>
      <c r="C5" s="4" t="s">
        <v>21</v>
      </c>
      <c r="D5" s="4" t="s">
        <v>14</v>
      </c>
      <c r="E5" s="4" t="n">
        <v>20</v>
      </c>
      <c r="F5" s="4" t="n">
        <v>118000</v>
      </c>
      <c r="G5" s="4" t="s">
        <v>15</v>
      </c>
      <c r="H5" s="4" t="n">
        <f aca="false">F5*20</f>
        <v>2360000</v>
      </c>
      <c r="I5" s="4"/>
    </row>
    <row r="6" customFormat="false" ht="15" hidden="false" customHeight="false" outlineLevel="0" collapsed="false">
      <c r="A6" s="4" t="n">
        <v>5</v>
      </c>
      <c r="B6" s="4" t="s">
        <v>22</v>
      </c>
      <c r="C6" s="4" t="s">
        <v>23</v>
      </c>
      <c r="D6" s="4" t="s">
        <v>14</v>
      </c>
      <c r="E6" s="4" t="n">
        <v>200</v>
      </c>
      <c r="F6" s="4" t="n">
        <v>9800</v>
      </c>
      <c r="G6" s="4" t="s">
        <v>15</v>
      </c>
      <c r="H6" s="4" t="n">
        <f aca="false">F6*200</f>
        <v>1960000</v>
      </c>
      <c r="I6" s="4"/>
    </row>
    <row r="7" customFormat="false" ht="15" hidden="false" customHeight="false" outlineLevel="0" collapsed="false">
      <c r="A7" s="4" t="n">
        <v>6</v>
      </c>
      <c r="B7" s="4" t="s">
        <v>24</v>
      </c>
      <c r="C7" s="4" t="s">
        <v>25</v>
      </c>
      <c r="D7" s="4" t="s">
        <v>14</v>
      </c>
      <c r="E7" s="4" t="n">
        <v>80</v>
      </c>
      <c r="F7" s="4" t="n">
        <v>16500</v>
      </c>
      <c r="G7" s="4" t="s">
        <v>15</v>
      </c>
      <c r="H7" s="4" t="n">
        <f aca="false">F7*80</f>
        <v>1320000</v>
      </c>
      <c r="I7" s="4"/>
    </row>
    <row r="8" customFormat="false" ht="15" hidden="false" customHeight="false" outlineLevel="0" collapsed="false">
      <c r="A8" s="4" t="n">
        <v>7</v>
      </c>
      <c r="B8" s="4" t="s">
        <v>26</v>
      </c>
      <c r="C8" s="4" t="s">
        <v>27</v>
      </c>
      <c r="D8" s="4" t="s">
        <v>14</v>
      </c>
      <c r="E8" s="4" t="n">
        <v>100</v>
      </c>
      <c r="F8" s="4" t="n">
        <v>3200</v>
      </c>
      <c r="G8" s="4" t="s">
        <v>15</v>
      </c>
      <c r="H8" s="4" t="n">
        <f aca="false">F8*100</f>
        <v>320000</v>
      </c>
      <c r="I8" s="4"/>
    </row>
    <row r="9" customFormat="false" ht="15" hidden="false" customHeight="false" outlineLevel="0" collapsed="false">
      <c r="A9" s="4" t="n">
        <v>8</v>
      </c>
      <c r="B9" s="4" t="s">
        <v>28</v>
      </c>
      <c r="C9" s="4" t="s">
        <v>29</v>
      </c>
      <c r="D9" s="4" t="s">
        <v>14</v>
      </c>
      <c r="E9" s="4" t="n">
        <v>220</v>
      </c>
      <c r="F9" s="4" t="n">
        <v>5400</v>
      </c>
      <c r="G9" s="4" t="s">
        <v>15</v>
      </c>
      <c r="H9" s="4" t="n">
        <f aca="false">F9*220</f>
        <v>1188000</v>
      </c>
      <c r="I9" s="4"/>
    </row>
    <row r="10" customFormat="false" ht="15" hidden="false" customHeight="false" outlineLevel="0" collapsed="false">
      <c r="A10" s="4" t="n">
        <v>9</v>
      </c>
      <c r="B10" s="4" t="s">
        <v>30</v>
      </c>
      <c r="C10" s="4" t="s">
        <v>31</v>
      </c>
      <c r="D10" s="4" t="s">
        <v>14</v>
      </c>
      <c r="E10" s="4" t="n">
        <v>300</v>
      </c>
      <c r="F10" s="4" t="n">
        <v>1450</v>
      </c>
      <c r="G10" s="4" t="s">
        <v>15</v>
      </c>
      <c r="H10" s="4" t="n">
        <f aca="false">F10*300</f>
        <v>435000</v>
      </c>
      <c r="I10" s="4"/>
    </row>
    <row r="11" customFormat="false" ht="15" hidden="false" customHeight="false" outlineLevel="0" collapsed="false">
      <c r="A11" s="4" t="n">
        <v>10</v>
      </c>
      <c r="B11" s="4" t="s">
        <v>32</v>
      </c>
      <c r="C11" s="4" t="s">
        <v>33</v>
      </c>
      <c r="D11" s="4" t="s">
        <v>14</v>
      </c>
      <c r="E11" s="4" t="n">
        <v>50</v>
      </c>
      <c r="F11" s="4" t="n">
        <v>650</v>
      </c>
      <c r="G11" s="4" t="s">
        <v>15</v>
      </c>
      <c r="H11" s="4" t="n">
        <f aca="false">F11*50</f>
        <v>32500</v>
      </c>
      <c r="I11" s="4"/>
    </row>
    <row r="12" customFormat="false" ht="15" hidden="false" customHeight="false" outlineLevel="0" collapsed="false">
      <c r="A12" s="4" t="n">
        <v>11</v>
      </c>
      <c r="B12" s="4" t="s">
        <v>34</v>
      </c>
      <c r="C12" s="4" t="s">
        <v>35</v>
      </c>
      <c r="D12" s="4" t="s">
        <v>14</v>
      </c>
      <c r="E12" s="4" t="n">
        <v>50</v>
      </c>
      <c r="F12" s="4" t="n">
        <v>350</v>
      </c>
      <c r="G12" s="4" t="s">
        <v>15</v>
      </c>
      <c r="H12" s="4" t="n">
        <f aca="false">F12*50</f>
        <v>17500</v>
      </c>
      <c r="I12" s="4"/>
    </row>
    <row r="13" customFormat="false" ht="15" hidden="false" customHeight="false" outlineLevel="0" collapsed="false">
      <c r="A13" s="4" t="n">
        <v>12</v>
      </c>
      <c r="B13" s="4" t="s">
        <v>36</v>
      </c>
      <c r="C13" s="4" t="s">
        <v>37</v>
      </c>
      <c r="D13" s="4" t="s">
        <v>14</v>
      </c>
      <c r="E13" s="4" t="n">
        <v>150</v>
      </c>
      <c r="F13" s="4" t="n">
        <v>2200</v>
      </c>
      <c r="G13" s="4" t="s">
        <v>15</v>
      </c>
      <c r="H13" s="4" t="n">
        <f aca="false">F13*150</f>
        <v>330000</v>
      </c>
      <c r="I13" s="4"/>
    </row>
    <row r="14" customFormat="false" ht="15" hidden="false" customHeight="false" outlineLevel="0" collapsed="false">
      <c r="A14" s="4" t="n">
        <v>13</v>
      </c>
      <c r="B14" s="4" t="s">
        <v>38</v>
      </c>
      <c r="C14" s="4" t="s">
        <v>39</v>
      </c>
      <c r="D14" s="4" t="s">
        <v>14</v>
      </c>
      <c r="E14" s="4" t="n">
        <v>30</v>
      </c>
      <c r="F14" s="4" t="n">
        <v>6800</v>
      </c>
      <c r="G14" s="4" t="s">
        <v>15</v>
      </c>
      <c r="H14" s="4" t="n">
        <f aca="false">F14*30</f>
        <v>204000</v>
      </c>
      <c r="I14" s="4"/>
    </row>
    <row r="15" customFormat="false" ht="15" hidden="false" customHeight="false" outlineLevel="0" collapsed="false">
      <c r="A15" s="4" t="n">
        <v>14</v>
      </c>
      <c r="B15" s="4" t="s">
        <v>40</v>
      </c>
      <c r="C15" s="4" t="s">
        <v>41</v>
      </c>
      <c r="D15" s="4" t="s">
        <v>14</v>
      </c>
      <c r="E15" s="4" t="n">
        <v>200</v>
      </c>
      <c r="F15" s="4" t="n">
        <v>3400</v>
      </c>
      <c r="G15" s="4" t="s">
        <v>15</v>
      </c>
      <c r="H15" s="4" t="n">
        <f aca="false">F15*200</f>
        <v>680000</v>
      </c>
      <c r="I15" s="4"/>
    </row>
    <row r="16" customFormat="false" ht="15" hidden="false" customHeight="false" outlineLevel="0" collapsed="false">
      <c r="A16" s="4" t="n">
        <v>15</v>
      </c>
      <c r="B16" s="4" t="s">
        <v>42</v>
      </c>
      <c r="C16" s="4" t="s">
        <v>43</v>
      </c>
      <c r="D16" s="4" t="s">
        <v>14</v>
      </c>
      <c r="E16" s="4" t="n">
        <v>100</v>
      </c>
      <c r="F16" s="4" t="n">
        <v>1800</v>
      </c>
      <c r="G16" s="4" t="s">
        <v>15</v>
      </c>
      <c r="H16" s="4" t="n">
        <f aca="false">F16*100</f>
        <v>180000</v>
      </c>
      <c r="I16" s="4"/>
    </row>
    <row r="17" customFormat="false" ht="15" hidden="false" customHeight="false" outlineLevel="0" collapsed="false">
      <c r="A17" s="4" t="n">
        <v>16</v>
      </c>
      <c r="B17" s="4" t="s">
        <v>44</v>
      </c>
      <c r="C17" s="4" t="s">
        <v>45</v>
      </c>
      <c r="D17" s="4" t="s">
        <v>14</v>
      </c>
      <c r="E17" s="4" t="n">
        <v>25</v>
      </c>
      <c r="F17" s="4" t="n">
        <v>22000</v>
      </c>
      <c r="G17" s="4" t="s">
        <v>15</v>
      </c>
      <c r="H17" s="4" t="n">
        <f aca="false">F17*25</f>
        <v>550000</v>
      </c>
      <c r="I17" s="4"/>
    </row>
    <row r="18" customFormat="false" ht="15" hidden="false" customHeight="false" outlineLevel="0" collapsed="false">
      <c r="A18" s="4" t="n">
        <v>17</v>
      </c>
      <c r="B18" s="4" t="s">
        <v>46</v>
      </c>
      <c r="C18" s="4" t="s">
        <v>47</v>
      </c>
      <c r="D18" s="4" t="s">
        <v>14</v>
      </c>
      <c r="E18" s="4" t="n">
        <v>15</v>
      </c>
      <c r="F18" s="4" t="n">
        <v>65000</v>
      </c>
      <c r="G18" s="4" t="s">
        <v>15</v>
      </c>
      <c r="H18" s="4" t="n">
        <f aca="false">F18*15</f>
        <v>975000</v>
      </c>
      <c r="I18" s="4"/>
    </row>
    <row r="19" customFormat="false" ht="15" hidden="false" customHeight="false" outlineLevel="0" collapsed="false">
      <c r="A19" s="4" t="n">
        <v>18</v>
      </c>
      <c r="B19" s="4" t="s">
        <v>48</v>
      </c>
      <c r="C19" s="4" t="s">
        <v>49</v>
      </c>
      <c r="D19" s="4" t="s">
        <v>14</v>
      </c>
      <c r="E19" s="4" t="n">
        <v>8</v>
      </c>
      <c r="F19" s="4" t="n">
        <v>385000</v>
      </c>
      <c r="G19" s="4" t="s">
        <v>15</v>
      </c>
      <c r="H19" s="4" t="n">
        <f aca="false">F19*8</f>
        <v>3080000</v>
      </c>
      <c r="I19" s="4"/>
    </row>
    <row r="20" customFormat="false" ht="15" hidden="false" customHeight="false" outlineLevel="0" collapsed="false">
      <c r="A20" s="4" t="n">
        <v>19</v>
      </c>
      <c r="B20" s="4" t="s">
        <v>50</v>
      </c>
      <c r="C20" s="4" t="s">
        <v>51</v>
      </c>
      <c r="D20" s="4" t="s">
        <v>14</v>
      </c>
      <c r="E20" s="4" t="n">
        <v>300</v>
      </c>
      <c r="F20" s="4" t="n">
        <v>850</v>
      </c>
      <c r="G20" s="4" t="s">
        <v>15</v>
      </c>
      <c r="H20" s="4" t="n">
        <f aca="false">F20*300</f>
        <v>255000</v>
      </c>
      <c r="I20" s="4"/>
    </row>
    <row r="21" customFormat="false" ht="15" hidden="false" customHeight="false" outlineLevel="0" collapsed="false">
      <c r="A21" s="4" t="n">
        <v>20</v>
      </c>
      <c r="B21" s="4" t="s">
        <v>52</v>
      </c>
      <c r="C21" s="4" t="s">
        <v>53</v>
      </c>
      <c r="D21" s="4" t="s">
        <v>14</v>
      </c>
      <c r="E21" s="4" t="n">
        <v>100</v>
      </c>
      <c r="F21" s="4" t="n">
        <v>2100</v>
      </c>
      <c r="G21" s="4" t="s">
        <v>15</v>
      </c>
      <c r="H21" s="4" t="n">
        <f aca="false">F21*100</f>
        <v>210000</v>
      </c>
      <c r="I21" s="4"/>
    </row>
    <row r="22" customFormat="false" ht="15" hidden="false" customHeight="false" outlineLevel="0" collapsed="false">
      <c r="A22" s="4" t="n">
        <v>21</v>
      </c>
      <c r="B22" s="4" t="s">
        <v>54</v>
      </c>
      <c r="C22" s="4" t="s">
        <v>55</v>
      </c>
      <c r="D22" s="4" t="s">
        <v>14</v>
      </c>
      <c r="E22" s="4" t="n">
        <v>60</v>
      </c>
      <c r="F22" s="4" t="n">
        <v>7200</v>
      </c>
      <c r="G22" s="4" t="s">
        <v>15</v>
      </c>
      <c r="H22" s="4" t="n">
        <f aca="false">F22*60</f>
        <v>432000</v>
      </c>
      <c r="I22" s="4"/>
    </row>
    <row r="23" customFormat="false" ht="15" hidden="false" customHeight="false" outlineLevel="0" collapsed="false">
      <c r="A23" s="4" t="n">
        <v>22</v>
      </c>
      <c r="B23" s="4" t="s">
        <v>56</v>
      </c>
      <c r="C23" s="4" t="s">
        <v>57</v>
      </c>
      <c r="D23" s="4" t="s">
        <v>14</v>
      </c>
      <c r="E23" s="4" t="n">
        <v>150</v>
      </c>
      <c r="F23" s="4" t="n">
        <v>950</v>
      </c>
      <c r="G23" s="4" t="s">
        <v>15</v>
      </c>
      <c r="H23" s="4" t="n">
        <f aca="false">F23*150</f>
        <v>142500</v>
      </c>
      <c r="I23" s="4"/>
    </row>
    <row r="24" customFormat="false" ht="15" hidden="false" customHeight="false" outlineLevel="0" collapsed="false">
      <c r="A24" s="4" t="n">
        <v>23</v>
      </c>
      <c r="B24" s="4" t="s">
        <v>58</v>
      </c>
      <c r="C24" s="4" t="s">
        <v>59</v>
      </c>
      <c r="D24" s="4" t="s">
        <v>14</v>
      </c>
      <c r="E24" s="4" t="n">
        <v>80</v>
      </c>
      <c r="F24" s="4" t="n">
        <v>1600</v>
      </c>
      <c r="G24" s="4" t="s">
        <v>15</v>
      </c>
      <c r="H24" s="4" t="n">
        <f aca="false">F24*80</f>
        <v>128000</v>
      </c>
      <c r="I24" s="4"/>
    </row>
    <row r="25" customFormat="false" ht="15" hidden="false" customHeight="false" outlineLevel="0" collapsed="false">
      <c r="A25" s="4" t="n">
        <v>24</v>
      </c>
      <c r="B25" s="4" t="s">
        <v>60</v>
      </c>
      <c r="C25" s="4" t="s">
        <v>61</v>
      </c>
      <c r="D25" s="4" t="s">
        <v>14</v>
      </c>
      <c r="E25" s="4" t="n">
        <v>300</v>
      </c>
      <c r="F25" s="4" t="n">
        <v>550</v>
      </c>
      <c r="G25" s="4" t="s">
        <v>15</v>
      </c>
      <c r="H25" s="4" t="n">
        <f aca="false">F25*300</f>
        <v>165000</v>
      </c>
      <c r="I25" s="4"/>
    </row>
    <row r="26" customFormat="false" ht="15" hidden="false" customHeight="false" outlineLevel="0" collapsed="false">
      <c r="A26" s="4" t="n">
        <v>25</v>
      </c>
      <c r="B26" s="4" t="s">
        <v>62</v>
      </c>
      <c r="C26" s="4" t="s">
        <v>63</v>
      </c>
      <c r="D26" s="4" t="s">
        <v>14</v>
      </c>
      <c r="E26" s="4" t="n">
        <v>10</v>
      </c>
      <c r="F26" s="4" t="n">
        <v>3800</v>
      </c>
      <c r="G26" s="4" t="s">
        <v>15</v>
      </c>
      <c r="H26" s="4" t="n">
        <f aca="false">F26*10</f>
        <v>38000</v>
      </c>
      <c r="I26" s="4"/>
    </row>
    <row r="27" customFormat="false" ht="15" hidden="false" customHeight="false" outlineLevel="0" collapsed="false">
      <c r="A27" s="4" t="n">
        <v>26</v>
      </c>
      <c r="B27" s="4" t="s">
        <v>64</v>
      </c>
      <c r="C27" s="4" t="s">
        <v>65</v>
      </c>
      <c r="D27" s="4" t="s">
        <v>14</v>
      </c>
      <c r="E27" s="4" t="n">
        <v>25</v>
      </c>
      <c r="F27" s="4" t="n">
        <v>9500</v>
      </c>
      <c r="G27" s="4" t="s">
        <v>15</v>
      </c>
      <c r="H27" s="4" t="n">
        <f aca="false">F27*25</f>
        <v>237500</v>
      </c>
      <c r="I27" s="4"/>
    </row>
    <row r="28" customFormat="false" ht="15" hidden="false" customHeight="false" outlineLevel="0" collapsed="false">
      <c r="A28" s="4" t="n">
        <v>27</v>
      </c>
      <c r="B28" s="4" t="s">
        <v>66</v>
      </c>
      <c r="C28" s="4" t="s">
        <v>67</v>
      </c>
      <c r="D28" s="4" t="s">
        <v>14</v>
      </c>
      <c r="E28" s="4" t="n">
        <v>15</v>
      </c>
      <c r="F28" s="4" t="n">
        <v>14500</v>
      </c>
      <c r="G28" s="4" t="s">
        <v>15</v>
      </c>
      <c r="H28" s="4" t="n">
        <f aca="false">F28*15</f>
        <v>217500</v>
      </c>
      <c r="I28" s="4"/>
    </row>
    <row r="29" customFormat="false" ht="15" hidden="false" customHeight="false" outlineLevel="0" collapsed="false">
      <c r="A29" s="4" t="n">
        <v>28</v>
      </c>
      <c r="B29" s="4" t="s">
        <v>68</v>
      </c>
      <c r="C29" s="4" t="s">
        <v>69</v>
      </c>
      <c r="D29" s="4" t="s">
        <v>14</v>
      </c>
      <c r="E29" s="4" t="n">
        <v>10</v>
      </c>
      <c r="F29" s="4" t="n">
        <v>8200</v>
      </c>
      <c r="G29" s="4" t="s">
        <v>15</v>
      </c>
      <c r="H29" s="4" t="n">
        <f aca="false">F29*10</f>
        <v>82000</v>
      </c>
      <c r="I29" s="4"/>
    </row>
    <row r="30" customFormat="false" ht="15" hidden="false" customHeight="false" outlineLevel="0" collapsed="false">
      <c r="A30" s="4" t="n">
        <v>29</v>
      </c>
      <c r="B30" s="4" t="s">
        <v>70</v>
      </c>
      <c r="C30" s="4" t="s">
        <v>71</v>
      </c>
      <c r="D30" s="4" t="s">
        <v>14</v>
      </c>
      <c r="E30" s="4" t="n">
        <v>40</v>
      </c>
      <c r="F30" s="4" t="n">
        <v>4600</v>
      </c>
      <c r="G30" s="4" t="s">
        <v>15</v>
      </c>
      <c r="H30" s="4" t="n">
        <f aca="false">F30*40</f>
        <v>184000</v>
      </c>
      <c r="I30" s="4"/>
    </row>
    <row r="31" customFormat="false" ht="15" hidden="false" customHeight="false" outlineLevel="0" collapsed="false">
      <c r="A31" s="4" t="n">
        <v>30</v>
      </c>
      <c r="B31" s="4" t="s">
        <v>72</v>
      </c>
      <c r="C31" s="4" t="s">
        <v>73</v>
      </c>
      <c r="D31" s="4" t="s">
        <v>74</v>
      </c>
      <c r="E31" s="4" t="n">
        <v>1</v>
      </c>
      <c r="F31" s="4" t="n">
        <v>3200</v>
      </c>
      <c r="G31" s="4" t="s">
        <v>15</v>
      </c>
      <c r="H31" s="4" t="n">
        <f aca="false">F31*320</f>
        <v>1024000</v>
      </c>
      <c r="I31" s="4" t="s">
        <v>75</v>
      </c>
    </row>
    <row r="33" customFormat="false" ht="15" hidden="false" customHeight="false" outlineLevel="0" collapsed="false">
      <c r="G33" s="5" t="s">
        <v>76</v>
      </c>
      <c r="H33" s="5" t="n">
        <f aca="false">SUM(H2:H31)</f>
        <v>33347500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77</v>
      </c>
      <c r="B1" s="3" t="s">
        <v>78</v>
      </c>
      <c r="C1" s="3" t="s">
        <v>79</v>
      </c>
    </row>
    <row r="2" customFormat="false" ht="45" hidden="false" customHeight="true" outlineLevel="0" collapsed="false">
      <c r="A2" s="4" t="n">
        <v>1</v>
      </c>
      <c r="B2" s="6" t="s">
        <v>80</v>
      </c>
      <c r="C2" s="6" t="s">
        <v>81</v>
      </c>
    </row>
    <row r="3" customFormat="false" ht="45" hidden="false" customHeight="true" outlineLevel="0" collapsed="false">
      <c r="A3" s="4" t="n">
        <v>2</v>
      </c>
      <c r="B3" s="6" t="s">
        <v>82</v>
      </c>
      <c r="C3" s="6" t="s">
        <v>83</v>
      </c>
    </row>
    <row r="4" customFormat="false" ht="45" hidden="false" customHeight="true" outlineLevel="0" collapsed="false">
      <c r="A4" s="4" t="n">
        <v>3</v>
      </c>
      <c r="B4" s="6" t="s">
        <v>84</v>
      </c>
      <c r="C4" s="6" t="s">
        <v>85</v>
      </c>
    </row>
    <row r="5" customFormat="false" ht="45" hidden="false" customHeight="true" outlineLevel="0" collapsed="false">
      <c r="A5" s="4" t="n">
        <v>4</v>
      </c>
      <c r="B5" s="6" t="s">
        <v>86</v>
      </c>
      <c r="C5" s="6" t="s">
        <v>87</v>
      </c>
    </row>
    <row r="6" customFormat="false" ht="45" hidden="false" customHeight="true" outlineLevel="0" collapsed="false">
      <c r="A6" s="4" t="n">
        <v>5</v>
      </c>
      <c r="B6" s="6" t="s">
        <v>88</v>
      </c>
      <c r="C6" s="6" t="s">
        <v>89</v>
      </c>
    </row>
    <row r="7" customFormat="false" ht="45" hidden="false" customHeight="true" outlineLevel="0" collapsed="false">
      <c r="A7" s="4" t="n">
        <v>6</v>
      </c>
      <c r="B7" s="6" t="s">
        <v>90</v>
      </c>
      <c r="C7" s="6" t="s">
        <v>91</v>
      </c>
    </row>
    <row r="8" customFormat="false" ht="45" hidden="false" customHeight="true" outlineLevel="0" collapsed="false">
      <c r="A8" s="4" t="n">
        <v>7</v>
      </c>
      <c r="B8" s="6" t="s">
        <v>92</v>
      </c>
      <c r="C8" s="6" t="s">
        <v>93</v>
      </c>
    </row>
    <row r="9" customFormat="false" ht="45" hidden="false" customHeight="true" outlineLevel="0" collapsed="false">
      <c r="A9" s="4" t="n">
        <v>8</v>
      </c>
      <c r="B9" s="6" t="s">
        <v>94</v>
      </c>
      <c r="C9" s="6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3" t="s">
        <v>96</v>
      </c>
      <c r="B1" s="3" t="s">
        <v>79</v>
      </c>
    </row>
    <row r="2" customFormat="false" ht="15" hidden="false" customHeight="false" outlineLevel="0" collapsed="false">
      <c r="A2" s="4" t="s">
        <v>97</v>
      </c>
      <c r="B2" s="4" t="s">
        <v>98</v>
      </c>
    </row>
    <row r="3" customFormat="false" ht="15" hidden="false" customHeight="false" outlineLevel="0" collapsed="false">
      <c r="A3" s="4" t="s">
        <v>99</v>
      </c>
      <c r="B3" s="4" t="s">
        <v>100</v>
      </c>
    </row>
    <row r="4" customFormat="false" ht="15" hidden="false" customHeight="false" outlineLevel="0" collapsed="false">
      <c r="A4" s="4" t="s">
        <v>101</v>
      </c>
      <c r="B4" s="4" t="s">
        <v>102</v>
      </c>
    </row>
    <row r="5" customFormat="false" ht="15" hidden="false" customHeight="false" outlineLevel="0" collapsed="false">
      <c r="A5" s="4" t="s">
        <v>103</v>
      </c>
      <c r="B5" s="4" t="s">
        <v>104</v>
      </c>
    </row>
    <row r="6" customFormat="false" ht="15" hidden="false" customHeight="false" outlineLevel="0" collapsed="false">
      <c r="A6" s="4" t="s">
        <v>105</v>
      </c>
      <c r="B6" s="4" t="s">
        <v>106</v>
      </c>
    </row>
    <row r="7" customFormat="false" ht="15" hidden="false" customHeight="false" outlineLevel="0" collapsed="false">
      <c r="A7" s="4" t="s">
        <v>107</v>
      </c>
      <c r="B7" s="4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2026-09-29T09:21:53Z</dcterms:created>
  <dc:creator>openpyxl</dc:creator>
  <dc:description/>
  <dc:language>en-US</dc:language>
  <cp:lastModifiedBy/>
  <dcterms:modified xsi:type="dcterms:W3CDTF">2026-09-29T09:21:53Z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